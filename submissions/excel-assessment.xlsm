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ownloads\"/>
    </mc:Choice>
  </mc:AlternateContent>
  <xr:revisionPtr revIDLastSave="0" documentId="13_ncr:1_{FAE35F2F-F891-4798-A034-6AEA8DD1F1B7}" xr6:coauthVersionLast="47" xr6:coauthVersionMax="47" xr10:uidLastSave="{00000000-0000-0000-0000-000000000000}"/>
  <bookViews>
    <workbookView xWindow="-108" yWindow="-108" windowWidth="23256" windowHeight="131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5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<sst xmlns="http://schemas.openxmlformats.org/spreadsheetml/2006/main" count="414" uniqueCount="191">
  <si>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</si>
  <si>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</si>
  <si>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</si>
  <si>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</si>
  <si>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</si>
  <si>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</si>
  <si>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</si>
  <si>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</si>
  <si>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</si>
  <si>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</si>
  <si>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</si>
  <si>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</si>
  <si>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</si>
  <si>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</si>
  <si>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</si>
  <si>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</si>
  <si>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</si>
  <si>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</si>
  <si>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</si>
  <si>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</si>
  <si>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</si>
  <si>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</si>
  <si>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</si>
  <si>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</si>
  <si>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</si>
  <si>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</si>
  <si>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</si>
  <si>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</si>
  <si>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</si>
  <si>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</si>
  <si>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</si>
  <si>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</si>
  <si>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</si>
  <si>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</si>
  <si>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</si>
  <si>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</si>
  <si>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</si>
  <si>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</si>
  <si>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</si>
  <si>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</si>
  <si>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</si>
  <si>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</si>
  <si>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</si>
  <si>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</si>
  <si>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</si>
  <si>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</si>
  <si>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</si>
  <si>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</si>
  <si>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</si>
  <si>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</si>
  <si>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</si>
  <si>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</si>
  <si>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</si>
  <si>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</si>
  <si>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</si>
  <si>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</si>
  <si>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</si>
  <si>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</si>
  <si>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</si>
  <si>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</si>
  <si>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</si>
  <si>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</si>
  <si>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</si>
  <si>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</si>
  <si>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</si>
  <si>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</si>
  <si>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</si>
  <si>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</si>
  <si>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</si>
  <si>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</si>
  <si>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</si>
  <si>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</si>
  <si>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</si>
  <si>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</si>
  <si>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</si>
  <si>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</si>
  <si>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</si>
  <si>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</si>
  <si>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</si>
  <si>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</si>
  <si>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</si>
  <si>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</si>
  <si>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</si>
  <si>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</si>
  <si>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</si>
  <si>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</si>
  <si>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</si>
  <si>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</si>
  <si>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</si>
  <si>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</si>
  <si>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</si>
  <si>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</si>
  <si>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</si>
  <si>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</si>
  <si>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</si>
  <si>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</si>
  <si>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</si>
  <si>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</si>
  <si>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</si>
  <si>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</si>
  <si>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</si>
  <si>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</si>
  <si>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</si>
  <si>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</si>
  <si>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</si>
  <si>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</si>
  <si>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</si>
  <si>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</si>
  <si>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</si>
  <si>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</si>
  <si>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</si>
  <si>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</si>
  <si>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</si>
  <si>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</si>
  <si>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</si>
  <si>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</si>
  <si>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</si>
  <si>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</si>
  <si>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</si>
  <si>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</si>
  <si>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</si>
  <si>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</si>
  <si>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</si>
  <si>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</si>
  <si>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</si>
  <si>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</si>
  <si>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</si>
  <si>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</si>
  <si>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</si>
  <si>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</si>
  <si>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</si>
  <si>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</si>
  <si>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</si>
  <si>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</si>
  <si>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</si>
  <si>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</si>
  <si>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</si>
  <si>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</si>
  <si>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</si>
  <si>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</si>
  <si>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</si>
  <si>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</si>
  <si>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</si>
  <si>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</si>
  <si>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</si>
  <si>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</si>
  <si>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</si>
  <si>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</si>
  <si>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</si>
  <si>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</si>
  <si>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</si>
  <si>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</si>
  <si>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</si>
  <si>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</si>
  <si>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</si>
  <si>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</si>
  <si>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</si>
  <si>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</si>
  <si>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</si>
  <si>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</si>
  <si>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</si>
  <si>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</si>
  <si>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</si>
  <si>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</si>
  <si>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</si>
  <si>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</si>
  <si>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</si>
  <si>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</si>
  <si>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</si>
  <si>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</si>
  <si>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</si>
  <si>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</si>
  <si>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</si>
  <si>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</si>
  <si>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</si>
  <si>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</si>
  <si>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I have used the INDEX formula to look up values that match in the table by specifying the row and column positions.</t>
  </si>
  <si>
    <t xml:space="preserve"> The range $A$9:$J$18 includes both the ID column and the matrix of values in Table_A. The function MATCH(A23, $M$9:$M$18, 0) finds the row in Table_B based on the ID values from Table_B. </t>
  </si>
  <si>
    <t>Similarly, MATCH(B23, $M$9:$M$18, 0) finds the matching or relative column in Table_B based on the ID values. The 0 in the formula specifies that an exact match is required.</t>
  </si>
  <si>
    <r>
      <t xml:space="preserve">The </t>
    </r>
    <r>
      <rPr>
        <b/>
        <sz val="10"/>
        <color rgb="FF000000"/>
        <rFont val="Calibri"/>
        <family val="2"/>
        <scheme val="minor"/>
      </rPr>
      <t>formula</t>
    </r>
    <r>
      <rPr>
        <sz val="10"/>
        <color rgb="FF000000"/>
        <rFont val="Calibri"/>
        <family val="2"/>
        <scheme val="minor"/>
      </rPr>
      <t xml:space="preserve"> is </t>
    </r>
    <r>
      <rPr>
        <b/>
        <sz val="10"/>
        <color rgb="FF000000"/>
        <rFont val="Calibri"/>
        <family val="2"/>
        <scheme val="minor"/>
      </rPr>
      <t>=INDEX($A$9:$J$18, MATCH(A23, $M$9:$M$18, 0), MATCH(B23, $M$9:$M$18, 0))</t>
    </r>
    <r>
      <rPr>
        <sz val="10"/>
        <color rgb="FF000000"/>
        <rFont val="Calibri"/>
        <family val="2"/>
        <scheme val="minor"/>
      </rPr>
      <t xml:space="preserve">. </t>
    </r>
  </si>
  <si>
    <t xml:space="preserve"> I have used the formula =SUM(IFERROR(C12:C21, 20).</t>
  </si>
  <si>
    <t xml:space="preserve"> This formula first checks for any error in the range C12, and replaces error values like #N/A with 20.</t>
  </si>
  <si>
    <t>Then, the SUM() function adds up all the values, including the substituted ones.</t>
  </si>
  <si>
    <t>I used the built-in Text to Columns functionality from the Data ribbon in Excel.</t>
  </si>
  <si>
    <t xml:space="preserve">To use this, first click on the Data tab at the top, then select the column in Table_A (from A16 to A54). </t>
  </si>
  <si>
    <t xml:space="preserve">Next, click on Text to Columns, choose the Delimited option, and select the '-' separator. Click Next, and in the Destination field, enter $B17. </t>
  </si>
  <si>
    <t>After applying, the data will be split into the next columns.</t>
  </si>
  <si>
    <t>View&gt;Freezw Panes&gt;Freeze Top Pane</t>
  </si>
  <si>
    <t xml:space="preserve">Select Column X&gt;Right click on column X&gt; </t>
  </si>
  <si>
    <t xml:space="preserve"> Formate Cell&gt;Date&gt;Choose YYYY-MM-DD&gt;Click Ok</t>
  </si>
  <si>
    <t>Red, Green &gt; Used Conditional Formatting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</si>
</sst>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9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8" fillId="0" borderId="0" xfId="0" applyFont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9" t="s">
        <v>107</v>
      </c>
    </row>
    <row r="2" spans="1:3">
      <c r="A2" s="2" t="s">
        <v>108</v>
      </c>
    </row>
    <row r="3" spans="1:3">
      <c r="A3" s="2" t="s">
        <v>109</v>
      </c>
    </row>
    <row r="4" spans="1:3" ht="14.4">
      <c r="A4" s="2" t="s">
        <v>175</v>
      </c>
      <c r="C4" s="1"/>
    </row>
    <row r="5" spans="1:3">
      <c r="A5" s="2" t="s">
        <v>150</v>
      </c>
    </row>
    <row r="8" spans="1:3">
      <c r="A8" s="2" t="s">
        <v>171</v>
      </c>
    </row>
    <row r="9" spans="1:3">
      <c r="A9" s="36" t="s">
        <v>169</v>
      </c>
      <c r="B9" s="26" t="s">
        <v>167</v>
      </c>
    </row>
    <row r="10" spans="1:3">
      <c r="A10" s="35" t="s">
        <v>170</v>
      </c>
      <c r="B10" s="37">
        <v>25</v>
      </c>
    </row>
    <row r="11" spans="1:3">
      <c r="A11" s="35" t="s">
        <v>54</v>
      </c>
      <c r="B11" s="37">
        <v>30</v>
      </c>
    </row>
    <row r="12" spans="1:3">
      <c r="A12" s="35" t="s">
        <v>55</v>
      </c>
      <c r="B12" s="37">
        <v>10</v>
      </c>
    </row>
    <row r="13" spans="1:3">
      <c r="A13" s="35" t="s">
        <v>84</v>
      </c>
      <c r="B13" s="37">
        <v>20</v>
      </c>
    </row>
    <row r="14" spans="1:3">
      <c r="A14" s="35" t="s">
        <v>97</v>
      </c>
      <c r="B14" s="37">
        <v>40</v>
      </c>
    </row>
    <row r="15" spans="1:3">
      <c r="A15" s="38" t="s">
        <v>168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B1" zoomScale="59" zoomScaleNormal="100" workbookViewId="0">
      <pane ySplit="1" topLeftCell="A2" activePane="bottomLeft" state="frozen"/>
      <selection activeCell="B1" sqref="B1"/>
      <selection pane="bottomLeft" activeCell="X1" sqref="X1:X1048576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>
      <c r="A1" s="27" t="s">
        <v>63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78</v>
      </c>
      <c r="H1" s="29" t="s">
        <v>64</v>
      </c>
      <c r="I1" s="29" t="s">
        <v>65</v>
      </c>
      <c r="J1" s="30" t="s">
        <v>66</v>
      </c>
      <c r="K1" s="30" t="s">
        <v>67</v>
      </c>
      <c r="L1" s="30" t="s">
        <v>68</v>
      </c>
      <c r="M1" s="29" t="s">
        <v>69</v>
      </c>
      <c r="N1" s="29" t="s">
        <v>70</v>
      </c>
      <c r="O1" s="29" t="s">
        <v>71</v>
      </c>
      <c r="P1" s="30" t="s">
        <v>72</v>
      </c>
      <c r="Q1" s="30" t="s">
        <v>73</v>
      </c>
      <c r="R1" s="30" t="s">
        <v>74</v>
      </c>
      <c r="S1" s="29" t="s">
        <v>79</v>
      </c>
      <c r="T1" s="29" t="s">
        <v>75</v>
      </c>
      <c r="U1" s="30" t="s">
        <v>80</v>
      </c>
      <c r="V1" s="30" t="s">
        <v>76</v>
      </c>
      <c r="W1" s="30" t="s">
        <v>77</v>
      </c>
      <c r="X1" s="46" t="s">
        <v>104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>
      <c r="A27" s="1" t="s">
        <v>56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>
      <c r="A30" s="1" t="s">
        <v>57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4" priority="4"/>
  </conditionalFormatting>
  <conditionalFormatting sqref="B1:B1048576">
    <cfRule type="duplicateValues" dxfId="3" priority="3"/>
  </conditionalFormatting>
  <conditionalFormatting sqref="A1:X40">
    <cfRule type="cellIs" dxfId="2" priority="2" operator="equal">
      <formula>0</formula>
    </cfRule>
    <cfRule type="cellIs" dxfId="1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2" sqref="B2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9.77734375" style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46</v>
      </c>
      <c r="B1" s="4" t="s">
        <v>47</v>
      </c>
      <c r="C1" s="4" t="s">
        <v>44</v>
      </c>
      <c r="E1" s="4" t="s">
        <v>174</v>
      </c>
    </row>
    <row r="2" spans="1:5">
      <c r="A2" s="2"/>
      <c r="B2" s="5" t="s">
        <v>158</v>
      </c>
      <c r="C2" s="2"/>
    </row>
    <row r="3" spans="1:5">
      <c r="A3" s="6">
        <v>1</v>
      </c>
      <c r="B3" s="2" t="s">
        <v>106</v>
      </c>
      <c r="C3" s="2" t="s">
        <v>190</v>
      </c>
      <c r="E3" s="1">
        <v>5</v>
      </c>
    </row>
    <row r="4" spans="1:5">
      <c r="A4" s="6">
        <v>2</v>
      </c>
      <c r="B4" s="2" t="s">
        <v>45</v>
      </c>
      <c r="C4" s="2" t="s">
        <v>187</v>
      </c>
      <c r="E4" s="1">
        <v>5</v>
      </c>
    </row>
    <row r="5" spans="1:5">
      <c r="A5" s="6">
        <v>3</v>
      </c>
      <c r="B5" s="2" t="s">
        <v>103</v>
      </c>
      <c r="C5" s="34">
        <f>SUMIF(H:H, "&gt;20")</f>
        <v>0</v>
      </c>
      <c r="E5" s="1">
        <v>10</v>
      </c>
    </row>
    <row r="6" spans="1:5" ht="14.4" customHeight="1">
      <c r="A6" s="6">
        <v>4</v>
      </c>
      <c r="B6" s="2" t="s">
        <v>105</v>
      </c>
      <c r="C6" s="2" t="s">
        <v>188</v>
      </c>
      <c r="E6" s="1">
        <v>5</v>
      </c>
    </row>
    <row r="7" spans="1:5">
      <c r="A7" s="2"/>
      <c r="B7" s="2"/>
      <c r="C7" s="2" t="s">
        <v>189</v>
      </c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74" zoomScaleNormal="100" workbookViewId="0">
      <selection activeCell="H29" sqref="H29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>
      <c r="A1" s="42" t="s">
        <v>54</v>
      </c>
      <c r="B1" s="41" t="s">
        <v>162</v>
      </c>
    </row>
    <row r="2" spans="1:7" s="41" customFormat="1" ht="21">
      <c r="B2" s="41" t="s">
        <v>159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8" t="s">
        <v>160</v>
      </c>
      <c r="B4" s="1"/>
      <c r="C4" s="1"/>
      <c r="D4" s="1"/>
      <c r="E4" s="1"/>
      <c r="F4" s="1"/>
      <c r="G4" s="1"/>
    </row>
    <row r="5" spans="1:7" ht="14.4">
      <c r="A5" s="20" t="s">
        <v>63</v>
      </c>
      <c r="B5" s="21" t="s">
        <v>78</v>
      </c>
      <c r="C5" s="22" t="s">
        <v>70</v>
      </c>
      <c r="D5" s="21" t="s">
        <v>74</v>
      </c>
      <c r="E5" s="22" t="s">
        <v>75</v>
      </c>
      <c r="F5" s="23" t="s">
        <v>76</v>
      </c>
    </row>
    <row r="6" spans="1:7" ht="14.4">
      <c r="A6" s="7" t="s">
        <v>40</v>
      </c>
      <c r="B6" s="12">
        <f>VLOOKUP(A6,Dataset!A:W,7,0)</f>
        <v>2.7</v>
      </c>
      <c r="C6" s="12">
        <f>VLOOKUP(A6,Dataset!A:W,14,0)</f>
        <v>7.6</v>
      </c>
      <c r="D6" s="12">
        <f>VLOOKUP(A6,Dataset!A:X,18,0)</f>
        <v>4.2</v>
      </c>
      <c r="E6" s="12">
        <f>VLOOKUP(A6,Dataset!A:X,20,0)</f>
        <v>8.9</v>
      </c>
      <c r="F6" s="8">
        <f>VLOOKUP(A6,Dataset!A:X,22,0)</f>
        <v>4.2</v>
      </c>
    </row>
    <row r="7" spans="1:7" ht="14.4">
      <c r="A7" s="7" t="s">
        <v>4</v>
      </c>
      <c r="B7" s="12">
        <f>VLOOKUP(A7,Dataset!A:W,7,0)</f>
        <v>2.7</v>
      </c>
      <c r="C7" s="12">
        <f>VLOOKUP(A7,Dataset!A:W,14,0)</f>
        <v>7.6</v>
      </c>
      <c r="D7" s="12">
        <f>VLOOKUP(A7,Dataset!A:X,18,0)</f>
        <v>4.2</v>
      </c>
      <c r="E7" s="12">
        <f>VLOOKUP(A7,Dataset!A:X,20,0)</f>
        <v>8.9</v>
      </c>
      <c r="F7" s="8">
        <f>VLOOKUP(A7,Dataset!A:X,22,0)</f>
        <v>4.2</v>
      </c>
    </row>
    <row r="8" spans="1:7" ht="14.4">
      <c r="A8" s="7" t="s">
        <v>7</v>
      </c>
      <c r="B8" s="12">
        <f>VLOOKUP(A8,Dataset!A:W,7,0)</f>
        <v>3.6</v>
      </c>
      <c r="C8" s="12">
        <f>VLOOKUP(A8,Dataset!A:W,14,0)</f>
        <v>11.1</v>
      </c>
      <c r="D8" s="12">
        <f>VLOOKUP(A8,Dataset!A:X,18,0)</f>
        <v>5.8</v>
      </c>
      <c r="E8" s="12">
        <f>VLOOKUP(A8,Dataset!A:X,20,0)</f>
        <v>12.2</v>
      </c>
      <c r="F8" s="8">
        <f>VLOOKUP(A8,Dataset!A:X,22,0)</f>
        <v>5.8</v>
      </c>
    </row>
    <row r="9" spans="1:7" ht="14.4">
      <c r="A9" s="7" t="s">
        <v>8</v>
      </c>
      <c r="B9" s="12">
        <f>VLOOKUP(A9,Dataset!A:W,7,0)</f>
        <v>4.9000000000000004</v>
      </c>
      <c r="C9" s="12">
        <f>VLOOKUP(A9,Dataset!A:W,14,0)</f>
        <v>13.3</v>
      </c>
      <c r="D9" s="12">
        <f>VLOOKUP(A9,Dataset!A:X,18,0)</f>
        <v>8.1</v>
      </c>
      <c r="E9" s="12">
        <f>VLOOKUP(A9,Dataset!A:X,20,0)</f>
        <v>17</v>
      </c>
      <c r="F9" s="8">
        <f>VLOOKUP(A9,Dataset!A:X,22,0)</f>
        <v>8.1</v>
      </c>
    </row>
    <row r="10" spans="1:7" ht="14.4">
      <c r="A10" s="7" t="s">
        <v>11</v>
      </c>
      <c r="B10" s="12">
        <f>VLOOKUP(A10,Dataset!A:W,7,0)</f>
        <v>9.4</v>
      </c>
      <c r="C10" s="12">
        <f>VLOOKUP(A10,Dataset!A:W,14,0)</f>
        <v>28.3</v>
      </c>
      <c r="D10" s="12">
        <f>VLOOKUP(A10,Dataset!A:X,18,0)</f>
        <v>16.100000000000001</v>
      </c>
      <c r="E10" s="12">
        <f>VLOOKUP(A10,Dataset!A:X,20,0)</f>
        <v>32.799999999999997</v>
      </c>
      <c r="F10" s="8">
        <f>VLOOKUP(A10,Dataset!A:X,22,0)</f>
        <v>16.100000000000001</v>
      </c>
    </row>
    <row r="11" spans="1:7" ht="14.4">
      <c r="A11" s="7" t="s">
        <v>12</v>
      </c>
      <c r="B11" s="12">
        <f>VLOOKUP(A11,Dataset!A:W,7,0)</f>
        <v>11.6</v>
      </c>
      <c r="C11" s="12">
        <f>VLOOKUP(A11,Dataset!A:W,14,0)</f>
        <v>35.200000000000003</v>
      </c>
      <c r="D11" s="12">
        <f>VLOOKUP(A11,Dataset!A:X,18,0)</f>
        <v>21.3</v>
      </c>
      <c r="E11" s="12">
        <f>VLOOKUP(A11,Dataset!A:X,20,0)</f>
        <v>43</v>
      </c>
      <c r="F11" s="8">
        <f>VLOOKUP(A11,Dataset!A:X,22,0)</f>
        <v>21.3</v>
      </c>
    </row>
    <row r="12" spans="1:7" ht="14.4">
      <c r="A12" s="7" t="s">
        <v>14</v>
      </c>
      <c r="B12" s="12">
        <f>VLOOKUP(A12,Dataset!A:W,7,0)</f>
        <v>18.399999999999999</v>
      </c>
      <c r="C12" s="12">
        <f>VLOOKUP(A12,Dataset!A:W,14,0)</f>
        <v>55.6</v>
      </c>
      <c r="D12" s="12">
        <f>VLOOKUP(A12,Dataset!A:X,18,0)</f>
        <v>33.799999999999997</v>
      </c>
      <c r="E12" s="12">
        <f>VLOOKUP(A12,Dataset!A:X,20,0)</f>
        <v>67.900000000000006</v>
      </c>
      <c r="F12" s="8">
        <f>VLOOKUP(A12,Dataset!A:X,22,0)</f>
        <v>33.799999999999997</v>
      </c>
    </row>
    <row r="13" spans="1:7" ht="14.4">
      <c r="A13" s="7" t="s">
        <v>15</v>
      </c>
      <c r="B13" s="12">
        <f>VLOOKUP(A13,Dataset!A:W,7,0)</f>
        <v>0</v>
      </c>
      <c r="C13" s="12">
        <f>VLOOKUP(A13,Dataset!A:W,14,0)</f>
        <v>0</v>
      </c>
      <c r="D13" s="12">
        <f>VLOOKUP(A13,Dataset!A:X,18,0)</f>
        <v>0</v>
      </c>
      <c r="E13" s="12">
        <f>VLOOKUP(A13,Dataset!A:X,20,0)</f>
        <v>0</v>
      </c>
      <c r="F13" s="8">
        <f>VLOOKUP(A13,Dataset!A:X,22,0)</f>
        <v>0</v>
      </c>
    </row>
    <row r="14" spans="1:7" ht="14.4">
      <c r="A14" s="7" t="s">
        <v>16</v>
      </c>
      <c r="B14" s="12">
        <f>VLOOKUP(A14,Dataset!A:W,7,0)</f>
        <v>21.9</v>
      </c>
      <c r="C14" s="12">
        <f>VLOOKUP(A14,Dataset!A:W,14,0)</f>
        <v>61.5</v>
      </c>
      <c r="D14" s="12">
        <f>VLOOKUP(A14,Dataset!A:X,18,0)</f>
        <v>40.1</v>
      </c>
      <c r="E14" s="12">
        <f>VLOOKUP(A14,Dataset!A:X,20,0)</f>
        <v>76.599999999999994</v>
      </c>
      <c r="F14" s="8">
        <f>VLOOKUP(A14,Dataset!A:X,22,0)</f>
        <v>40.1</v>
      </c>
    </row>
    <row r="15" spans="1:7" ht="14.4">
      <c r="A15" s="7" t="s">
        <v>18</v>
      </c>
      <c r="B15" s="12">
        <f>VLOOKUP(A15,Dataset!A:W,7,0)</f>
        <v>26.8</v>
      </c>
      <c r="C15" s="12">
        <f>VLOOKUP(A15,Dataset!A:W,14,0)</f>
        <v>79.599999999999994</v>
      </c>
      <c r="D15" s="12">
        <f>VLOOKUP(A15,Dataset!A:X,18,0)</f>
        <v>47.9</v>
      </c>
      <c r="E15" s="12">
        <f>VLOOKUP(A15,Dataset!A:X,20,0)</f>
        <v>96.8</v>
      </c>
      <c r="F15" s="8">
        <f>VLOOKUP(A15,Dataset!A:X,22,0)</f>
        <v>47.9</v>
      </c>
    </row>
    <row r="16" spans="1:7" ht="14.4">
      <c r="A16" s="7" t="s">
        <v>20</v>
      </c>
      <c r="B16" s="12">
        <f>VLOOKUP(A16,Dataset!A:W,7,0)</f>
        <v>28.5</v>
      </c>
      <c r="C16" s="12">
        <f>VLOOKUP(A16,Dataset!A:W,14,0)</f>
        <v>85.4</v>
      </c>
      <c r="D16" s="12">
        <f>VLOOKUP(A16,Dataset!A:X,18,0)</f>
        <v>52.3</v>
      </c>
      <c r="E16" s="12">
        <f>VLOOKUP(A16,Dataset!A:X,20,0)</f>
        <v>106.1</v>
      </c>
      <c r="F16" s="8">
        <f>VLOOKUP(A16,Dataset!A:X,22,0)</f>
        <v>52.3</v>
      </c>
    </row>
    <row r="17" spans="1:6" ht="14.4">
      <c r="A17" s="7" t="s">
        <v>22</v>
      </c>
      <c r="B17" s="12">
        <f>VLOOKUP(A17,Dataset!A:W,7,0)</f>
        <v>30.7</v>
      </c>
      <c r="C17" s="12">
        <f>VLOOKUP(A17,Dataset!A:W,14,0)</f>
        <v>92.1</v>
      </c>
      <c r="D17" s="12">
        <f>VLOOKUP(A17,Dataset!A:X,18,0)</f>
        <v>57</v>
      </c>
      <c r="E17" s="12">
        <f>VLOOKUP(A17,Dataset!A:X,20,0)</f>
        <v>115.1</v>
      </c>
      <c r="F17" s="8">
        <f>VLOOKUP(A17,Dataset!A:X,22,0)</f>
        <v>57</v>
      </c>
    </row>
    <row r="18" spans="1:6" ht="14.4">
      <c r="A18" s="7" t="s">
        <v>23</v>
      </c>
      <c r="B18" s="12">
        <f>VLOOKUP(A18,Dataset!A:W,7,0)</f>
        <v>33.799999999999997</v>
      </c>
      <c r="C18" s="12">
        <f>VLOOKUP(A18,Dataset!A:W,14,0)</f>
        <v>101.3</v>
      </c>
      <c r="D18" s="12">
        <f>VLOOKUP(A18,Dataset!A:X,18,0)</f>
        <v>61.4</v>
      </c>
      <c r="E18" s="12">
        <f>VLOOKUP(A18,Dataset!A:X,20,0)</f>
        <v>124.4</v>
      </c>
      <c r="F18" s="8">
        <f>VLOOKUP(A18,Dataset!A:X,22,0)</f>
        <v>61.4</v>
      </c>
    </row>
    <row r="19" spans="1:6" ht="14.4">
      <c r="A19" s="7" t="s">
        <v>24</v>
      </c>
      <c r="B19" s="12">
        <f>VLOOKUP(A19,Dataset!A:W,7,0)</f>
        <v>34.700000000000003</v>
      </c>
      <c r="C19" s="12">
        <f>VLOOKUP(A19,Dataset!A:W,14,0)</f>
        <v>106.1</v>
      </c>
      <c r="D19" s="12">
        <f>VLOOKUP(A19,Dataset!A:X,18,0)</f>
        <v>63.6</v>
      </c>
      <c r="E19" s="12">
        <f>VLOOKUP(A19,Dataset!A:X,20,0)</f>
        <v>128.6</v>
      </c>
      <c r="F19" s="8">
        <f>VLOOKUP(A19,Dataset!A:X,22,0)</f>
        <v>63.6</v>
      </c>
    </row>
    <row r="20" spans="1:6" ht="14.4">
      <c r="A20" s="7" t="s">
        <v>28</v>
      </c>
      <c r="B20" s="12">
        <f>VLOOKUP(A20,Dataset!A:W,7,0)</f>
        <v>0</v>
      </c>
      <c r="C20" s="12">
        <f>VLOOKUP(A20,Dataset!A:W,14,0)</f>
        <v>0</v>
      </c>
      <c r="D20" s="12">
        <f>VLOOKUP(A20,Dataset!A:X,18,0)</f>
        <v>0</v>
      </c>
      <c r="E20" s="12">
        <f>VLOOKUP(A20,Dataset!A:X,20,0)</f>
        <v>0</v>
      </c>
      <c r="F20" s="8">
        <f>VLOOKUP(A20,Dataset!A:X,22,0)</f>
        <v>0</v>
      </c>
    </row>
    <row r="21" spans="1:6" ht="14.4">
      <c r="A21" s="7" t="s">
        <v>56</v>
      </c>
      <c r="B21" s="12">
        <f>VLOOKUP(A21,Dataset!A:W,7,0)</f>
        <v>41.3</v>
      </c>
      <c r="C21" s="12">
        <f>VLOOKUP(A21,Dataset!A:W,14,0)</f>
        <v>124.4</v>
      </c>
      <c r="D21" s="12">
        <f>VLOOKUP(A21,Dataset!A:X,18,0)</f>
        <v>75</v>
      </c>
      <c r="E21" s="12">
        <f>VLOOKUP(A21,Dataset!A:X,20,0)</f>
        <v>151.5</v>
      </c>
      <c r="F21" s="8">
        <f>VLOOKUP(A21,Dataset!A:X,22,0)</f>
        <v>75</v>
      </c>
    </row>
    <row r="22" spans="1:6" ht="14.4">
      <c r="A22" s="7" t="s">
        <v>57</v>
      </c>
      <c r="B22" s="12">
        <f>VLOOKUP(A22,Dataset!A:W,7,0)</f>
        <v>-1</v>
      </c>
      <c r="C22" s="12">
        <f>VLOOKUP(A22,Dataset!A:W,14,0)</f>
        <v>-1</v>
      </c>
      <c r="D22" s="12">
        <f>VLOOKUP(A22,Dataset!A:X,18,0)</f>
        <v>-1</v>
      </c>
      <c r="E22" s="12">
        <f>VLOOKUP(A22,Dataset!A:X,20,0)</f>
        <v>-1</v>
      </c>
      <c r="F22" s="8">
        <f>VLOOKUP(A22,Dataset!A:X,22,0)</f>
        <v>-1</v>
      </c>
    </row>
    <row r="23" spans="1:6" ht="14.4">
      <c r="A23" s="7" t="s">
        <v>31</v>
      </c>
      <c r="B23" s="12">
        <f>VLOOKUP(A23,Dataset!A:W,7,0)</f>
        <v>45</v>
      </c>
      <c r="C23" s="12">
        <f>VLOOKUP(A23,Dataset!A:W,14,0)</f>
        <v>133.4</v>
      </c>
      <c r="D23" s="12">
        <f>VLOOKUP(A23,Dataset!A:X,18,0)</f>
        <v>79.400000000000006</v>
      </c>
      <c r="E23" s="12">
        <f>VLOOKUP(A23,Dataset!A:X,20,0)</f>
        <v>160.9</v>
      </c>
      <c r="F23" s="8">
        <f>VLOOKUP(A23,Dataset!A:X,22,0)</f>
        <v>79.400000000000006</v>
      </c>
    </row>
    <row r="24" spans="1:6" ht="14.4">
      <c r="A24" s="7" t="s">
        <v>32</v>
      </c>
      <c r="B24" s="12">
        <f>VLOOKUP(A24,Dataset!A:W,7,0)</f>
        <v>-1</v>
      </c>
      <c r="C24" s="12">
        <f>VLOOKUP(A24,Dataset!A:W,14,0)</f>
        <v>-1</v>
      </c>
      <c r="D24" s="12">
        <f>VLOOKUP(A24,Dataset!A:X,18,0)</f>
        <v>-1</v>
      </c>
      <c r="E24" s="12">
        <f>VLOOKUP(A24,Dataset!A:X,20,0)</f>
        <v>-1</v>
      </c>
      <c r="F24" s="8">
        <f>VLOOKUP(A24,Dataset!A:X,22,0)</f>
        <v>-1</v>
      </c>
    </row>
    <row r="25" spans="1:6" ht="14.4">
      <c r="A25" s="7" t="s">
        <v>34</v>
      </c>
      <c r="B25" s="12">
        <f>VLOOKUP(A25,Dataset!A:W,7,0)</f>
        <v>43.3</v>
      </c>
      <c r="C25" s="12">
        <f>VLOOKUP(A25,Dataset!A:W,14,0)</f>
        <v>128.6</v>
      </c>
      <c r="D25" s="12">
        <f>VLOOKUP(A25,Dataset!A:X,18,0)</f>
        <v>79.400000000000006</v>
      </c>
      <c r="E25" s="12">
        <f>VLOOKUP(A25,Dataset!A:X,20,0)</f>
        <v>160.9</v>
      </c>
      <c r="F25" s="8">
        <f>VLOOKUP(A25,Dataset!A:X,22,0)</f>
        <v>79.400000000000006</v>
      </c>
    </row>
    <row r="26" spans="1:6" ht="14.4">
      <c r="A26" s="7" t="s">
        <v>37</v>
      </c>
      <c r="B26" s="12">
        <f>VLOOKUP(A26,Dataset!A:W,7,0)</f>
        <v>49.1</v>
      </c>
      <c r="C26" s="12">
        <f>VLOOKUP(A26,Dataset!A:W,14,0)</f>
        <v>146.80000000000001</v>
      </c>
      <c r="D26" s="12">
        <f>VLOOKUP(A26,Dataset!A:X,18,0)</f>
        <v>90.9</v>
      </c>
      <c r="E26" s="12">
        <f>VLOOKUP(A26,Dataset!A:X,20,0)</f>
        <v>183.5</v>
      </c>
      <c r="F26" s="8">
        <f>VLOOKUP(A26,Dataset!A:X,22,0)</f>
        <v>90.9</v>
      </c>
    </row>
    <row r="27" spans="1:6" ht="14.4">
      <c r="A27" s="7" t="s">
        <v>39</v>
      </c>
      <c r="B27" s="12">
        <f>VLOOKUP(A27,Dataset!A:W,7,0)</f>
        <v>51.8</v>
      </c>
      <c r="C27" s="12">
        <f>VLOOKUP(A27,Dataset!A:W,14,0)</f>
        <v>156.4</v>
      </c>
      <c r="D27" s="12">
        <f>VLOOKUP(A27,Dataset!A:X,18,0)</f>
        <v>93.1</v>
      </c>
      <c r="E27" s="12">
        <f>VLOOKUP(A27,Dataset!A:X,20,0)</f>
        <v>188.1</v>
      </c>
      <c r="F27" s="8">
        <f>VLOOKUP(A27,Dataset!A:X,22,0)</f>
        <v>93.1</v>
      </c>
    </row>
    <row r="28" spans="1:6" ht="14.4">
      <c r="A28" s="19" t="s">
        <v>81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>
      <c r="A29" s="19" t="s">
        <v>82</v>
      </c>
      <c r="B29" s="31">
        <f>MAX(B6:B27)</f>
        <v>51.8</v>
      </c>
      <c r="C29" s="31">
        <f>MAX(C7:C28)</f>
        <v>156.4</v>
      </c>
      <c r="D29" s="31">
        <f>MAX(D7:D28)</f>
        <v>93.1</v>
      </c>
      <c r="E29" s="31">
        <f>MAX(E7:E28)</f>
        <v>188.1</v>
      </c>
      <c r="F29" s="31">
        <f>MAX(F7:F28)</f>
        <v>93.1</v>
      </c>
    </row>
    <row r="30" spans="1:6" ht="14.4">
      <c r="A30" s="19" t="s">
        <v>83</v>
      </c>
      <c r="B30" s="31">
        <f>AVERAGE(B7:B28)</f>
        <v>20.65909090909091</v>
      </c>
      <c r="C30" s="31">
        <f>AVERAGE(C8:C29)</f>
        <v>68.75</v>
      </c>
      <c r="D30" s="31">
        <f>AVERAGE(D8:D29)</f>
        <v>41.604545454545452</v>
      </c>
      <c r="E30" s="31">
        <f>AVERAGE(E8:E29)</f>
        <v>84.11363636363636</v>
      </c>
      <c r="F30" s="31">
        <f>AVERAGE(F8:F29)</f>
        <v>41.604545454545452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G13" sqref="G13"/>
    </sheetView>
  </sheetViews>
  <sheetFormatPr defaultColWidth="11" defaultRowHeight="14.4"/>
  <cols>
    <col min="1" max="1" width="39.77734375" style="1" bestFit="1" customWidth="1"/>
    <col min="2" max="16384" width="11" style="1"/>
  </cols>
  <sheetData>
    <row r="1" spans="1:10" s="41" customFormat="1" ht="21">
      <c r="A1" s="42" t="s">
        <v>55</v>
      </c>
      <c r="B1" s="41" t="s">
        <v>172</v>
      </c>
    </row>
    <row r="2" spans="1:10" customFormat="1" ht="13.2"/>
    <row r="3" spans="1:10" s="2" customFormat="1">
      <c r="B3" s="1"/>
    </row>
    <row r="4" spans="1:10" s="2" customFormat="1">
      <c r="B4" s="1" t="s">
        <v>149</v>
      </c>
    </row>
    <row r="5" spans="1:10" ht="18">
      <c r="A5" s="43" t="s">
        <v>52</v>
      </c>
      <c r="B5" s="45" t="s">
        <v>183</v>
      </c>
    </row>
    <row r="6" spans="1:10" ht="18">
      <c r="A6" s="43" t="s">
        <v>151</v>
      </c>
      <c r="B6" s="45" t="s">
        <v>184</v>
      </c>
    </row>
    <row r="7" spans="1:10" ht="18">
      <c r="A7" s="43"/>
      <c r="B7" s="45" t="s">
        <v>185</v>
      </c>
    </row>
    <row r="8" spans="1:10" ht="15.6">
      <c r="B8" s="45" t="s">
        <v>186</v>
      </c>
    </row>
    <row r="9" spans="1:10" ht="23.4">
      <c r="A9" s="18" t="s">
        <v>163</v>
      </c>
      <c r="I9" s="2"/>
      <c r="J9" s="2"/>
    </row>
    <row r="10" spans="1:10">
      <c r="A10" s="33" t="s">
        <v>101</v>
      </c>
      <c r="B10" s="17" t="s">
        <v>48</v>
      </c>
      <c r="C10" s="17" t="s">
        <v>49</v>
      </c>
      <c r="D10" s="17" t="s">
        <v>50</v>
      </c>
      <c r="E10" s="17" t="s">
        <v>51</v>
      </c>
      <c r="F10" s="17" t="s">
        <v>53</v>
      </c>
      <c r="I10" s="2"/>
      <c r="J10" s="2"/>
    </row>
    <row r="11" spans="1:10">
      <c r="A11" s="9" t="s">
        <v>119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>
      <c r="A14" s="18" t="s">
        <v>160</v>
      </c>
    </row>
    <row r="15" spans="1:10">
      <c r="A15" s="14" t="s">
        <v>102</v>
      </c>
      <c r="B15" s="17" t="s">
        <v>48</v>
      </c>
      <c r="C15" s="15" t="s">
        <v>49</v>
      </c>
      <c r="D15" s="17" t="s">
        <v>50</v>
      </c>
      <c r="E15" s="15" t="s">
        <v>51</v>
      </c>
      <c r="F15" s="17" t="s">
        <v>53</v>
      </c>
    </row>
    <row r="16" spans="1:10">
      <c r="A16" s="7" t="s">
        <v>119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>
      <c r="A17" s="7" t="s">
        <v>120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>
      <c r="A18" s="7" t="s">
        <v>121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>
      <c r="A19" s="7" t="s">
        <v>122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>
      <c r="A20" s="7" t="s">
        <v>123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>
      <c r="A21" s="7" t="s">
        <v>124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>
      <c r="A22" s="7" t="s">
        <v>125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>
      <c r="A23" s="7" t="s">
        <v>126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127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128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129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130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131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132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133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134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135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136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137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138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139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140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141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142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143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144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145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146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147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148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110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111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112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113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114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115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116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117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118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="90" zoomScaleNormal="100" workbookViewId="0">
      <selection activeCell="G13" sqref="G12:G13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42" t="s">
        <v>84</v>
      </c>
      <c r="B1" s="41" t="s">
        <v>165</v>
      </c>
    </row>
    <row r="2" spans="1:3" ht="18">
      <c r="B2" s="40" t="s">
        <v>164</v>
      </c>
    </row>
    <row r="5" spans="1:3" ht="14.4">
      <c r="B5" s="1" t="s">
        <v>149</v>
      </c>
    </row>
    <row r="6" spans="1:3" ht="14.4">
      <c r="A6" s="3" t="s">
        <v>52</v>
      </c>
      <c r="B6" s="1" t="s">
        <v>180</v>
      </c>
    </row>
    <row r="7" spans="1:3" ht="14.4">
      <c r="A7" s="3" t="s">
        <v>151</v>
      </c>
      <c r="B7" s="1" t="s">
        <v>181</v>
      </c>
    </row>
    <row r="8" spans="1:3" ht="15.6">
      <c r="B8" s="45" t="s">
        <v>182</v>
      </c>
    </row>
    <row r="10" spans="1:3" ht="23.4">
      <c r="A10" s="18" t="s">
        <v>160</v>
      </c>
    </row>
    <row r="11" spans="1:3" ht="14.4">
      <c r="A11" s="32" t="s">
        <v>85</v>
      </c>
      <c r="B11" s="17" t="s">
        <v>86</v>
      </c>
      <c r="C11" s="17" t="s">
        <v>87</v>
      </c>
    </row>
    <row r="12" spans="1:3" ht="14.4">
      <c r="A12" s="32">
        <v>44927</v>
      </c>
      <c r="B12" s="17" t="s">
        <v>58</v>
      </c>
      <c r="C12" s="17">
        <v>200</v>
      </c>
    </row>
    <row r="13" spans="1:3" ht="14.4">
      <c r="A13" s="32">
        <v>44928</v>
      </c>
      <c r="B13" s="17" t="s">
        <v>59</v>
      </c>
      <c r="C13" s="17" t="e">
        <v>#N/A</v>
      </c>
    </row>
    <row r="14" spans="1:3" ht="14.4">
      <c r="A14" s="32">
        <v>44929</v>
      </c>
      <c r="B14" s="17" t="s">
        <v>60</v>
      </c>
      <c r="C14" s="17">
        <v>50</v>
      </c>
    </row>
    <row r="15" spans="1:3" ht="14.4">
      <c r="A15" s="32">
        <v>44930</v>
      </c>
      <c r="B15" s="17" t="s">
        <v>61</v>
      </c>
      <c r="C15" s="17" t="e">
        <v>#N/A</v>
      </c>
    </row>
    <row r="16" spans="1:3" ht="14.4">
      <c r="A16" s="32">
        <v>44931</v>
      </c>
      <c r="B16" s="17" t="s">
        <v>62</v>
      </c>
      <c r="C16" s="17">
        <v>10</v>
      </c>
    </row>
    <row r="17" spans="1:3" ht="14.4">
      <c r="A17" s="32">
        <v>44932</v>
      </c>
      <c r="B17" s="17" t="s">
        <v>152</v>
      </c>
      <c r="C17" s="17">
        <v>150</v>
      </c>
    </row>
    <row r="18" spans="1:3" ht="14.4">
      <c r="A18" s="32">
        <v>44933</v>
      </c>
      <c r="B18" s="17" t="s">
        <v>153</v>
      </c>
      <c r="C18" s="17">
        <v>80</v>
      </c>
    </row>
    <row r="19" spans="1:3" ht="14.4">
      <c r="A19" s="32">
        <v>44934</v>
      </c>
      <c r="B19" s="17" t="s">
        <v>154</v>
      </c>
      <c r="C19" s="17" t="e">
        <v>#N/A</v>
      </c>
    </row>
    <row r="20" spans="1:3" ht="14.4">
      <c r="A20" s="32">
        <v>44935</v>
      </c>
      <c r="B20" s="17" t="s">
        <v>155</v>
      </c>
      <c r="C20" s="17">
        <v>30</v>
      </c>
    </row>
    <row r="21" spans="1:3" ht="14.4">
      <c r="A21" s="32">
        <v>44936</v>
      </c>
      <c r="B21" s="17" t="s">
        <v>156</v>
      </c>
      <c r="C21" s="17" t="e">
        <v>#N/A</v>
      </c>
    </row>
    <row r="22" spans="1:3" ht="14.4">
      <c r="B22" s="17" t="s">
        <v>157</v>
      </c>
      <c r="C22" s="25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D8" sqref="D8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42" t="s">
        <v>97</v>
      </c>
      <c r="B1" s="41" t="s">
        <v>173</v>
      </c>
    </row>
    <row r="3" spans="1:14" ht="14.4">
      <c r="B3" s="1" t="s">
        <v>149</v>
      </c>
    </row>
    <row r="4" spans="1:14" ht="18">
      <c r="A4" s="43" t="s">
        <v>52</v>
      </c>
      <c r="B4" s="1"/>
      <c r="C4" s="2" t="s">
        <v>176</v>
      </c>
    </row>
    <row r="5" spans="1:14" ht="18">
      <c r="A5" s="43" t="s">
        <v>151</v>
      </c>
      <c r="B5" s="1"/>
      <c r="C5" s="2" t="s">
        <v>179</v>
      </c>
    </row>
    <row r="6" spans="1:14" ht="14.4">
      <c r="A6" s="3"/>
      <c r="B6" s="1"/>
      <c r="C6" s="2" t="s">
        <v>177</v>
      </c>
    </row>
    <row r="7" spans="1:14">
      <c r="C7" s="2" t="s">
        <v>178</v>
      </c>
    </row>
    <row r="8" spans="1:14" ht="23.4">
      <c r="A8" s="18" t="s">
        <v>160</v>
      </c>
      <c r="M8" s="18" t="s">
        <v>161</v>
      </c>
    </row>
    <row r="9" spans="1:14" ht="14.4">
      <c r="A9" s="26"/>
      <c r="B9" s="26" t="s">
        <v>88</v>
      </c>
      <c r="C9" s="26" t="s">
        <v>89</v>
      </c>
      <c r="D9" s="26" t="s">
        <v>90</v>
      </c>
      <c r="E9" s="26" t="s">
        <v>91</v>
      </c>
      <c r="F9" s="26" t="s">
        <v>92</v>
      </c>
      <c r="G9" s="26" t="s">
        <v>93</v>
      </c>
      <c r="H9" s="26" t="s">
        <v>94</v>
      </c>
      <c r="I9" s="26" t="s">
        <v>95</v>
      </c>
      <c r="J9" s="26" t="s">
        <v>96</v>
      </c>
      <c r="M9" s="19" t="s">
        <v>43</v>
      </c>
      <c r="N9" s="19" t="s">
        <v>98</v>
      </c>
    </row>
    <row r="10" spans="1:14" ht="14.4">
      <c r="A10" s="26" t="s">
        <v>88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88</v>
      </c>
    </row>
    <row r="11" spans="1:14" ht="14.4">
      <c r="A11" s="26" t="s">
        <v>89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89</v>
      </c>
    </row>
    <row r="12" spans="1:14" ht="14.4">
      <c r="A12" s="26" t="s">
        <v>90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90</v>
      </c>
    </row>
    <row r="13" spans="1:14" ht="14.4">
      <c r="A13" s="26" t="s">
        <v>91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91</v>
      </c>
    </row>
    <row r="14" spans="1:14" ht="14.4">
      <c r="A14" s="26" t="s">
        <v>92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92</v>
      </c>
    </row>
    <row r="15" spans="1:14" ht="14.4">
      <c r="A15" s="26" t="s">
        <v>93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93</v>
      </c>
    </row>
    <row r="16" spans="1:14" ht="14.4">
      <c r="A16" s="26" t="s">
        <v>94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94</v>
      </c>
    </row>
    <row r="17" spans="1:14" ht="14.4">
      <c r="A17" s="26" t="s">
        <v>95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95</v>
      </c>
    </row>
    <row r="18" spans="1:14" ht="14.4">
      <c r="A18" s="26" t="s">
        <v>96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96</v>
      </c>
    </row>
    <row r="21" spans="1:14" ht="23.4">
      <c r="A21" s="18" t="s">
        <v>166</v>
      </c>
    </row>
    <row r="22" spans="1:14" ht="14.4">
      <c r="A22" s="14" t="s">
        <v>99</v>
      </c>
      <c r="B22" s="17" t="s">
        <v>100</v>
      </c>
      <c r="C22" s="16" t="s">
        <v>101</v>
      </c>
    </row>
    <row r="23" spans="1:14" ht="14.4">
      <c r="A23" s="7">
        <v>10100</v>
      </c>
      <c r="B23" s="12">
        <v>10102</v>
      </c>
      <c r="C23" s="44">
        <f>INDEX($A$9:$J$18, MATCH(A23, $M$9:$M$18, 0), MATCH(B23, $M$9:$M$18, 0))</f>
        <v>95</v>
      </c>
    </row>
    <row r="24" spans="1:14" ht="14.4">
      <c r="A24" s="7">
        <v>10100</v>
      </c>
      <c r="B24" s="12">
        <v>10104</v>
      </c>
      <c r="C24" s="44">
        <f t="shared" ref="C24:C35" si="0">INDEX($A$9:$J$18, MATCH(A24, $M$9:$M$18, 0), MATCH(B24, $M$9:$M$18, 0))</f>
        <v>-1</v>
      </c>
    </row>
    <row r="25" spans="1:14" ht="14.4">
      <c r="A25" s="7">
        <v>10108</v>
      </c>
      <c r="B25" s="12">
        <v>10102</v>
      </c>
      <c r="C25" s="44">
        <f t="shared" si="0"/>
        <v>160</v>
      </c>
    </row>
    <row r="26" spans="1:14" ht="14.4">
      <c r="A26" s="7">
        <v>10100</v>
      </c>
      <c r="B26" s="12">
        <v>10106</v>
      </c>
      <c r="C26" s="44">
        <f t="shared" si="0"/>
        <v>185</v>
      </c>
    </row>
    <row r="27" spans="1:14" ht="14.4">
      <c r="A27" s="7">
        <v>10108</v>
      </c>
      <c r="B27" s="12">
        <v>10110</v>
      </c>
      <c r="C27" s="44">
        <f t="shared" si="0"/>
        <v>50</v>
      </c>
    </row>
    <row r="28" spans="1:14" ht="14.4">
      <c r="A28" s="7">
        <v>10102</v>
      </c>
      <c r="B28" s="12">
        <v>10104</v>
      </c>
      <c r="C28" s="44">
        <f t="shared" si="0"/>
        <v>-1</v>
      </c>
    </row>
    <row r="29" spans="1:14" ht="14.4">
      <c r="A29" s="7">
        <v>10106</v>
      </c>
      <c r="B29" s="12">
        <v>10108</v>
      </c>
      <c r="C29" s="44">
        <f t="shared" si="0"/>
        <v>70</v>
      </c>
    </row>
    <row r="30" spans="1:14" ht="14.4">
      <c r="A30" s="7">
        <v>10102</v>
      </c>
      <c r="B30" s="12">
        <v>10106</v>
      </c>
      <c r="C30" s="44">
        <f t="shared" si="0"/>
        <v>90</v>
      </c>
    </row>
    <row r="31" spans="1:14" ht="14.4">
      <c r="A31" s="7">
        <v>10110</v>
      </c>
      <c r="B31" s="12">
        <v>10114</v>
      </c>
      <c r="C31" s="44">
        <f t="shared" si="0"/>
        <v>180</v>
      </c>
    </row>
    <row r="32" spans="1:14" ht="14.4">
      <c r="A32" s="7">
        <v>10104</v>
      </c>
      <c r="B32" s="12">
        <v>10106</v>
      </c>
      <c r="C32" s="44">
        <f t="shared" si="0"/>
        <v>60</v>
      </c>
    </row>
    <row r="33" spans="1:3" ht="14.4">
      <c r="A33" s="7">
        <v>10110</v>
      </c>
      <c r="B33" s="12">
        <v>10112</v>
      </c>
      <c r="C33" s="44">
        <f t="shared" si="0"/>
        <v>115</v>
      </c>
    </row>
    <row r="34" spans="1:3" ht="14.4">
      <c r="A34" s="7">
        <v>10100</v>
      </c>
      <c r="B34" s="12">
        <v>10114</v>
      </c>
      <c r="C34" s="44">
        <f t="shared" si="0"/>
        <v>480</v>
      </c>
    </row>
    <row r="35" spans="1:3" ht="14.4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Aman Gupta</cp:lastModifiedBy>
  <dcterms:created xsi:type="dcterms:W3CDTF">2015-02-10T17:33:11Z</dcterms:created>
  <dcterms:modified xsi:type="dcterms:W3CDTF">2024-10-24T15:50:24Z</dcterms:modified>
</cp:coreProperties>
</file>